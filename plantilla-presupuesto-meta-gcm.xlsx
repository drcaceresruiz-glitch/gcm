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D2531C7E-9ECC-4341-B1D4-60B6F7BE371D}" xr6:coauthVersionLast="47" xr6:coauthVersionMax="47" xr10:uidLastSave="{00000000-0000-0000-0000-000000000000}"/>
  <bookViews>
    <workbookView xWindow="-108" yWindow="-108" windowWidth="23256" windowHeight="13896" xr2:uid="{00000000-000D-0000-FFFF-FFFF00000000}"/>
  </bookViews>
  <sheets>
    <sheet name="Costo Directo" sheetId="1" r:id="rId1"/>
    <sheet name="Gastos Generales" sheetId="2" r:id="rId2"/>
    <sheet name="Instruccion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2" l="1"/>
  <c r="F10" i="2"/>
  <c r="F14" i="2" s="1"/>
  <c r="F9" i="2"/>
  <c r="F8" i="2"/>
  <c r="F7" i="2"/>
  <c r="F6" i="2"/>
  <c r="F5" i="2"/>
  <c r="F5" i="1"/>
  <c r="F13" i="1"/>
  <c r="F12" i="1"/>
  <c r="F11" i="1" s="1"/>
  <c r="F10" i="1"/>
  <c r="F8" i="1" s="1"/>
  <c r="F9" i="1"/>
  <c r="F7" i="1"/>
  <c r="F6" i="1"/>
  <c r="F15" i="1" l="1"/>
  <c r="F12" i="2"/>
</calcChain>
</file>

<file path=xl/sharedStrings.xml><?xml version="1.0" encoding="utf-8"?>
<sst xmlns="http://schemas.openxmlformats.org/spreadsheetml/2006/main" count="86" uniqueCount="76">
  <si>
    <t>PRESUPUESTO META - COSTO DIRECTO</t>
  </si>
  <si>
    <t>Lo que TÚ te comprometes a gastar. La diferencia con el contrato es la bolsa.</t>
  </si>
  <si>
    <t>Ítem</t>
  </si>
  <si>
    <t>Descripción</t>
  </si>
  <si>
    <t>Und.</t>
  </si>
  <si>
    <t>Metrado</t>
  </si>
  <si>
    <t>Precio Unitario</t>
  </si>
  <si>
    <t>Parcial</t>
  </si>
  <si>
    <t>1.0</t>
  </si>
  <si>
    <t>OBRAS PROVISIONALES Y TRABAJOS PRELIMINARES</t>
  </si>
  <si>
    <t>1.1</t>
  </si>
  <si>
    <t>Cartel de identificación de obra 3.60 × 2.40 m</t>
  </si>
  <si>
    <t>und</t>
  </si>
  <si>
    <t>1.2</t>
  </si>
  <si>
    <t>Cerco provisional de obra con paneles metálicos</t>
  </si>
  <si>
    <t>m</t>
  </si>
  <si>
    <t>2.0</t>
  </si>
  <si>
    <t>ESTRUCTURAS</t>
  </si>
  <si>
    <t>2.1</t>
  </si>
  <si>
    <t>Concreto premezclado f'c = 210 kg/cm² en columnas</t>
  </si>
  <si>
    <t>m3</t>
  </si>
  <si>
    <t>2.2</t>
  </si>
  <si>
    <t>Acero de refuerzo fy = 4200 kg/cm², habilitado y colocado</t>
  </si>
  <si>
    <t>kg</t>
  </si>
  <si>
    <t>3.0</t>
  </si>
  <si>
    <t>COSTOS PROPIOS DE LA META (el contrato no los desglosa)</t>
  </si>
  <si>
    <t>3.1</t>
  </si>
  <si>
    <t>Andamio metálico en alquiler</t>
  </si>
  <si>
    <t>mes</t>
  </si>
  <si>
    <t>3.2</t>
  </si>
  <si>
    <t>Cuadrilla de apoyo (ayudantes de obra)</t>
  </si>
  <si>
    <t>glb</t>
  </si>
  <si>
    <t>PRESUPUESTO META - GASTOS GENERALES</t>
  </si>
  <si>
    <t>No es un porcentaje: es una lista con plazo. Crecen con los MESES, no con la producción.</t>
  </si>
  <si>
    <t>Concepto</t>
  </si>
  <si>
    <t>Tipo</t>
  </si>
  <si>
    <t>Monto mensual</t>
  </si>
  <si>
    <t>Meses</t>
  </si>
  <si>
    <t>Importe fijo</t>
  </si>
  <si>
    <t>Residente de obra</t>
  </si>
  <si>
    <t>VARIABLE</t>
  </si>
  <si>
    <t>Maestro de obra</t>
  </si>
  <si>
    <t>Almacenero</t>
  </si>
  <si>
    <t>Camioneta y combustible</t>
  </si>
  <si>
    <t>Carta fianza de fiel cumplimiento</t>
  </si>
  <si>
    <t>FIJO</t>
  </si>
  <si>
    <t>Póliza CAR</t>
  </si>
  <si>
    <t>Cómo llenar el presupuesto meta</t>
  </si>
  <si>
    <t/>
  </si>
  <si>
    <t>Qué es esto</t>
  </si>
  <si>
    <t>El presupuesto META es lo que TÚ te comprometes a gastar, no lo que el cliente paga. La diferencia entre los dos es la BOLSA OPERATIVA de la obra: el margen que gestionas.</t>
  </si>
  <si>
    <t>1. Hoja «Costo Directo»</t>
  </si>
  <si>
    <t>Mismas columnas que la plantilla de presupuesto, con TUS precios reales: los rendimientos que de verdad consigues y lo que de verdad te cuestan tus subcontratos. Normalmente por debajo del contrato; ahí está la bolsa.</t>
  </si>
  <si>
    <t>2. Espeja los códigos del contrato</t>
  </si>
  <si>
    <t>Usa el MISMO código de partida que el presupuesto contractual (1.1, 2.1…). Así la comparación sale línea a línea y puedes ver qué partida se come el margen. Si un código no coincide, esa línea no tendrá con qué compararse.</t>
  </si>
  <si>
    <t>3. Líneas propias de la meta</t>
  </si>
  <si>
    <t>Puedes añadir costos que el contrato no desglosa: andamio alquilado, cuadrilla de apoyo, encofrado metálico (capítulo 3 del ejemplo). Ponles un código que NO exista en el contrato. Consumen bolsa, que es exactamente lo que hacen en la obra.</t>
  </si>
  <si>
    <t>4. Lo que NO pongas se nota</t>
  </si>
  <si>
    <t>Si dejas una partida del contrato sin línea aquí, el sistema NO la cuenta como ahorro: te la marca como «sin meta» y te dice cuánto suma. Una meta incompleta parece un margen excelente, y no lo es.</t>
  </si>
  <si>
    <t>5. Hoja «Gastos Generales»</t>
  </si>
  <si>
    <t>Aquí NO se pide un porcentaje, se pide una lista. Los gastos generales no crecen con la producción: crecen con los MESES. Un porcentaje sobre el costo directo esconde el sobrecosto más caro que tiene una obra, que es la que se estira con todas sus partidas en meta.</t>
  </si>
  <si>
    <t>6. VARIABLE contra FIJO</t>
  </si>
  <si>
    <t>VARIABLE es lo que se paga por mes (residente, maestro, camioneta, oficina): llena «Monto mensual» y «Meses», y deja «Importe fijo» vacío. FIJO es lo que no se mueve aunque la obra se alargue (cartas fianza, pólizas, licencias): llena solo «Importe fijo».</t>
  </si>
  <si>
    <t>7. Los meses son por línea</t>
  </si>
  <si>
    <t>El almacenero del ejemplo está 6 meses de los 8 del plazo. Nadie está en obra todo el plazo, y con un único número global el gasto saldría siempre de más.</t>
  </si>
  <si>
    <t>8. Para qué sirve separarlos</t>
  </si>
  <si>
    <t>De los VARIABLES sale lo que cuesta cada mes de atraso. En el ejemplo son S/ 14 500 al mes: eso es lo que pierdes por cada mes de más, y no se recupera trabajando mejor, solo terminando antes.</t>
  </si>
  <si>
    <t>¿Y la utilidad?</t>
  </si>
  <si>
    <t>No aparece por ninguna parte, y es a propósito. La utilidad NO es un costo que puedas gastar: es el resultado. Si entra en la meta se vuelve presupuesto, la obra se la gasta y nadie lo nota hasta la liquidación. GCM la muestra aparte, al lado de la bolsa, etiquetada como lo que es.</t>
  </si>
  <si>
    <t>Antes de importar</t>
  </si>
  <si>
    <t>Borra las filas de ejemplo de las dos hojas y escribe lo tuyo. Al importar verás una vista previa con totales y avisos ANTES de confirmar: nada se guarda sin que lo revises.</t>
  </si>
  <si>
    <t>TOTAL COSTO DIRECTO</t>
  </si>
  <si>
    <t>Subtotal</t>
  </si>
  <si>
    <t>TOTAL GASTOS GENERALES</t>
  </si>
  <si>
    <t>GG Variables (crecen con el plazo)</t>
  </si>
  <si>
    <t>GG Fijos (no dependen del plazo)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</si>
</sst>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b/>
      <sz val="14"/>
      <name val="Calibri"/>
    </font>
    <font>
      <i/>
      <sz val="11"/>
      <color rgb="FF667788"/>
      <name val="Calibri"/>
    </font>
    <font>
      <b/>
      <sz val="11"/>
      <color rgb="FFFFFFFF"/>
      <name val="Calibri"/>
    </font>
    <font>
      <b/>
      <sz val="11"/>
      <name val="Calibri"/>
    </font>
    <font>
      <b/>
      <sz val="13"/>
      <name val="Calibri"/>
    </font>
    <font>
      <b/>
      <sz val="11"/>
      <color theme="1"/>
      <name val="Calibri"/>
      <family val="2"/>
      <scheme val="minor"/>
    </font>
  </fonts>
  <fills count="6">
    <fill>
      <patternFill patternType="none"/>
    </fill>
    <fill>
      <patternFill patternType="gray125"/>
    </fill>
    <fill>
      <patternFill patternType="solid">
        <fgColor rgb="FF0D5C56"/>
      </patternFill>
    </fill>
    <fill>
      <patternFill patternType="solid">
        <fgColor rgb="FFE8F0EF"/>
      </patternFill>
    </fill>
    <fill>
      <patternFill patternType="solid">
        <fgColor rgb="FFE8F0EF"/>
        <bgColor indexed="64"/>
      </patternFill>
    </fill>
    <fill>
      <patternFill patternType="solid">
        <fgColor rgb="FF0D5C56"/>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0" xfId="0" applyFont="1" applyFill="1" applyAlignment="1">
      <alignment horizontal="left"/>
    </xf>
    <xf numFmtId="0" fontId="3" fillId="2" borderId="0" xfId="0" applyFont="1" applyFill="1" applyAlignment="1">
      <alignment horizontal="center"/>
    </xf>
    <xf numFmtId="0" fontId="4" fillId="3" borderId="0" xfId="0" applyFont="1" applyFill="1"/>
    <xf numFmtId="0" fontId="4" fillId="3" borderId="0" xfId="0" applyFont="1" applyFill="1" applyAlignment="1">
      <alignment horizontal="center"/>
    </xf>
    <xf numFmtId="164" fontId="4" fillId="3" borderId="0" xfId="0" applyNumberFormat="1" applyFont="1" applyFill="1"/>
    <xf numFmtId="4" fontId="4" fillId="3" borderId="0" xfId="0" applyNumberFormat="1" applyFont="1" applyFill="1"/>
    <xf numFmtId="0" fontId="0" fillId="0" borderId="0" xfId="0" applyAlignment="1">
      <alignment horizontal="center"/>
    </xf>
    <xf numFmtId="4" fontId="0" fillId="0" borderId="0" xfId="0" applyNumberFormat="1"/>
    <xf numFmtId="0" fontId="5" fillId="0" borderId="0" xfId="0" applyFont="1"/>
    <xf numFmtId="0" fontId="5" fillId="0" borderId="0" xfId="0" applyFont="1" applyAlignment="1">
      <alignment vertical="top" wrapText="1"/>
    </xf>
    <xf numFmtId="0" fontId="4" fillId="0" borderId="0" xfId="0" applyFont="1"/>
    <xf numFmtId="0" fontId="0" fillId="0" borderId="0" xfId="0" applyAlignment="1">
      <alignment vertical="top" wrapText="1"/>
    </xf>
    <xf numFmtId="0" fontId="6" fillId="4" borderId="0" xfId="0" applyFont="1" applyFill="1"/>
    <xf numFmtId="0" fontId="0" fillId="4" borderId="0" xfId="0" applyFill="1"/>
    <xf numFmtId="4" fontId="6" fillId="4" borderId="0" xfId="0" applyNumberFormat="1" applyFont="1" applyFill="1"/>
    <xf numFmtId="0" fontId="3"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D094D9-7B99-40B8-9C70-57F0544904C9}">
  <we:reference id="wa200010725" version="1.0.0.1" store="en-US" storeType="OMEX"/>
  <we:alternateReferences>
    <we:reference id="WA200010725" version="1.0.0.1" store="" storeType="OMEX"/>
  </we:alternateReferences>
  <we:properties>
    <we:property name="claude.fileId" value="&quot;93e9096f-f832-413a-b934-fe159a435e1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workbookViewId="0">
      <selection activeCell="H23" sqref="H23"/>
    </sheetView>
  </sheetViews>
  <sheetFormatPr baseColWidth="10" defaultColWidth="8.88671875" defaultRowHeight="14.4" x14ac:dyDescent="0.3"/>
  <cols>
    <col min="1" max="1" width="10" customWidth="1"/>
    <col min="2" max="2" width="56" customWidth="1"/>
    <col min="3" max="3" width="8" customWidth="1"/>
    <col min="4" max="4" width="12" customWidth="1"/>
    <col min="5" max="6" width="16" customWidth="1"/>
  </cols>
  <sheetData>
    <row r="1" spans="1:6" ht="18" x14ac:dyDescent="0.35">
      <c r="A1" s="1" t="s">
        <v>0</v>
      </c>
    </row>
    <row r="2" spans="1:6" x14ac:dyDescent="0.3">
      <c r="A2" s="2" t="s">
        <v>1</v>
      </c>
    </row>
    <row r="4" spans="1:6" x14ac:dyDescent="0.3">
      <c r="A4" s="3" t="s">
        <v>2</v>
      </c>
      <c r="B4" s="3" t="s">
        <v>3</v>
      </c>
      <c r="C4" s="4" t="s">
        <v>4</v>
      </c>
      <c r="D4" s="4" t="s">
        <v>5</v>
      </c>
      <c r="E4" s="4" t="s">
        <v>6</v>
      </c>
      <c r="F4" s="4" t="s">
        <v>7</v>
      </c>
    </row>
    <row r="5" spans="1:6" x14ac:dyDescent="0.3">
      <c r="A5" s="5" t="s">
        <v>8</v>
      </c>
      <c r="B5" s="5" t="s">
        <v>9</v>
      </c>
      <c r="C5" s="6"/>
      <c r="D5" s="7"/>
      <c r="E5" s="8"/>
      <c r="F5" s="8">
        <f>SUM(F6:F7)</f>
        <v>760</v>
      </c>
    </row>
    <row r="6" spans="1:6" x14ac:dyDescent="0.3">
      <c r="A6" t="s">
        <v>10</v>
      </c>
      <c r="B6" t="s">
        <v>11</v>
      </c>
      <c r="C6" s="9" t="s">
        <v>12</v>
      </c>
      <c r="D6" s="10">
        <v>1</v>
      </c>
      <c r="E6" s="10">
        <v>200</v>
      </c>
      <c r="F6" s="10">
        <f>D6*E6</f>
        <v>200</v>
      </c>
    </row>
    <row r="7" spans="1:6" x14ac:dyDescent="0.3">
      <c r="A7" t="s">
        <v>13</v>
      </c>
      <c r="B7" t="s">
        <v>14</v>
      </c>
      <c r="C7" s="9" t="s">
        <v>15</v>
      </c>
      <c r="D7" s="10">
        <v>20</v>
      </c>
      <c r="E7" s="10">
        <v>28</v>
      </c>
      <c r="F7" s="10">
        <f>D7*E7</f>
        <v>560</v>
      </c>
    </row>
    <row r="8" spans="1:6" x14ac:dyDescent="0.3">
      <c r="A8" s="5" t="s">
        <v>16</v>
      </c>
      <c r="B8" s="5" t="s">
        <v>17</v>
      </c>
      <c r="C8" s="6"/>
      <c r="D8" s="8"/>
      <c r="E8" s="8"/>
      <c r="F8" s="8">
        <f>SUM(F9:F10)</f>
        <v>5180</v>
      </c>
    </row>
    <row r="9" spans="1:6" x14ac:dyDescent="0.3">
      <c r="A9" t="s">
        <v>18</v>
      </c>
      <c r="B9" t="s">
        <v>19</v>
      </c>
      <c r="C9" s="9" t="s">
        <v>20</v>
      </c>
      <c r="D9" s="10">
        <v>12.5</v>
      </c>
      <c r="E9" s="10">
        <v>352</v>
      </c>
      <c r="F9" s="10">
        <f>D9*E9</f>
        <v>4400</v>
      </c>
    </row>
    <row r="10" spans="1:6" x14ac:dyDescent="0.3">
      <c r="A10" t="s">
        <v>21</v>
      </c>
      <c r="B10" t="s">
        <v>22</v>
      </c>
      <c r="C10" s="9" t="s">
        <v>23</v>
      </c>
      <c r="D10" s="10">
        <v>600</v>
      </c>
      <c r="E10" s="10">
        <v>1.3</v>
      </c>
      <c r="F10" s="10">
        <f>D10*E10</f>
        <v>780</v>
      </c>
    </row>
    <row r="11" spans="1:6" x14ac:dyDescent="0.3">
      <c r="A11" s="5" t="s">
        <v>24</v>
      </c>
      <c r="B11" s="5" t="s">
        <v>25</v>
      </c>
      <c r="C11" s="6"/>
      <c r="D11" s="8"/>
      <c r="E11" s="8"/>
      <c r="F11" s="8">
        <f>SUM(F12:F13)</f>
        <v>3000</v>
      </c>
    </row>
    <row r="12" spans="1:6" x14ac:dyDescent="0.3">
      <c r="A12" t="s">
        <v>26</v>
      </c>
      <c r="B12" t="s">
        <v>27</v>
      </c>
      <c r="C12" s="9" t="s">
        <v>28</v>
      </c>
      <c r="D12" s="10">
        <v>4</v>
      </c>
      <c r="E12" s="10">
        <v>100</v>
      </c>
      <c r="F12" s="10">
        <f>D12*E12</f>
        <v>400</v>
      </c>
    </row>
    <row r="13" spans="1:6" x14ac:dyDescent="0.3">
      <c r="A13" t="s">
        <v>29</v>
      </c>
      <c r="B13" t="s">
        <v>30</v>
      </c>
      <c r="C13" s="9" t="s">
        <v>31</v>
      </c>
      <c r="D13" s="10">
        <v>1</v>
      </c>
      <c r="E13" s="10">
        <v>2600</v>
      </c>
      <c r="F13" s="10">
        <f>D13*E13</f>
        <v>2600</v>
      </c>
    </row>
    <row r="15" spans="1:6" x14ac:dyDescent="0.3">
      <c r="A15" s="16"/>
      <c r="B15" s="15" t="s">
        <v>71</v>
      </c>
      <c r="C15" s="16"/>
      <c r="D15" s="16"/>
      <c r="E15" s="16"/>
      <c r="F15" s="17">
        <f>F5+F8+F11</f>
        <v>8940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D18" sqref="D18"/>
    </sheetView>
  </sheetViews>
  <sheetFormatPr baseColWidth="10" defaultColWidth="8.88671875" defaultRowHeight="14.4" x14ac:dyDescent="0.3"/>
  <cols>
    <col min="1" max="1" width="44" customWidth="1"/>
    <col min="2" max="2" width="12" customWidth="1"/>
    <col min="3" max="3" width="16" customWidth="1"/>
    <col min="4" max="4" width="10" customWidth="1"/>
    <col min="5" max="5" width="16" customWidth="1"/>
  </cols>
  <sheetData>
    <row r="1" spans="1:6" ht="18" x14ac:dyDescent="0.35">
      <c r="A1" s="1" t="s">
        <v>32</v>
      </c>
    </row>
    <row r="2" spans="1:6" x14ac:dyDescent="0.3">
      <c r="A2" s="2" t="s">
        <v>33</v>
      </c>
    </row>
    <row r="4" spans="1:6" x14ac:dyDescent="0.3">
      <c r="A4" s="3" t="s">
        <v>34</v>
      </c>
      <c r="B4" s="3" t="s">
        <v>35</v>
      </c>
      <c r="C4" s="4" t="s">
        <v>36</v>
      </c>
      <c r="D4" s="4" t="s">
        <v>37</v>
      </c>
      <c r="E4" s="4" t="s">
        <v>38</v>
      </c>
      <c r="F4" s="18" t="s">
        <v>72</v>
      </c>
    </row>
    <row r="5" spans="1:6" x14ac:dyDescent="0.3">
      <c r="A5" t="s">
        <v>39</v>
      </c>
      <c r="B5" s="9" t="s">
        <v>40</v>
      </c>
      <c r="C5" s="10">
        <v>6500</v>
      </c>
      <c r="D5" s="9">
        <v>0.43</v>
      </c>
      <c r="E5" s="10"/>
      <c r="F5" s="10">
        <f>IF(B5="VARIABLE",C5*D5,E5)</f>
        <v>2795</v>
      </c>
    </row>
    <row r="6" spans="1:6" x14ac:dyDescent="0.3">
      <c r="A6" t="s">
        <v>41</v>
      </c>
      <c r="B6" s="9" t="s">
        <v>40</v>
      </c>
      <c r="C6" s="10">
        <v>0</v>
      </c>
      <c r="D6" s="9">
        <v>0.43</v>
      </c>
      <c r="E6" s="10"/>
      <c r="F6" s="10">
        <f>IF(B6="VARIABLE",C6*D6,E6)</f>
        <v>0</v>
      </c>
    </row>
    <row r="7" spans="1:6" x14ac:dyDescent="0.3">
      <c r="A7" t="s">
        <v>42</v>
      </c>
      <c r="B7" s="9" t="s">
        <v>40</v>
      </c>
      <c r="C7" s="10">
        <v>0</v>
      </c>
      <c r="D7" s="9">
        <v>0.32</v>
      </c>
      <c r="E7" s="10"/>
      <c r="F7" s="10">
        <f>IF(B7="VARIABLE",C7*D7,E7)</f>
        <v>0</v>
      </c>
    </row>
    <row r="8" spans="1:6" x14ac:dyDescent="0.3">
      <c r="A8" t="s">
        <v>43</v>
      </c>
      <c r="B8" s="9" t="s">
        <v>40</v>
      </c>
      <c r="C8" s="10">
        <v>0</v>
      </c>
      <c r="D8" s="9">
        <v>0.43</v>
      </c>
      <c r="E8" s="10"/>
      <c r="F8" s="10">
        <f>IF(B8="VARIABLE",C8*D8,E8)</f>
        <v>0</v>
      </c>
    </row>
    <row r="9" spans="1:6" x14ac:dyDescent="0.3">
      <c r="A9" t="s">
        <v>44</v>
      </c>
      <c r="B9" s="9" t="s">
        <v>45</v>
      </c>
      <c r="C9" s="10"/>
      <c r="D9" s="9"/>
      <c r="E9" s="10">
        <v>1000</v>
      </c>
      <c r="F9" s="10">
        <f>IF(B9="VARIABLE",C9*D9,E9)</f>
        <v>1000</v>
      </c>
    </row>
    <row r="10" spans="1:6" x14ac:dyDescent="0.3">
      <c r="A10" t="s">
        <v>46</v>
      </c>
      <c r="B10" s="9" t="s">
        <v>45</v>
      </c>
      <c r="C10" s="10"/>
      <c r="D10" s="9"/>
      <c r="E10" s="10">
        <v>200</v>
      </c>
      <c r="F10" s="10">
        <f>IF(B10="VARIABLE",C10*D10,E10)</f>
        <v>200</v>
      </c>
    </row>
    <row r="12" spans="1:6" x14ac:dyDescent="0.3">
      <c r="A12" s="15" t="s">
        <v>73</v>
      </c>
      <c r="B12" s="16"/>
      <c r="C12" s="16"/>
      <c r="D12" s="16"/>
      <c r="E12" s="16"/>
      <c r="F12" s="17">
        <f>SUM(F5:F10)</f>
        <v>3995</v>
      </c>
    </row>
    <row r="13" spans="1:6" x14ac:dyDescent="0.3">
      <c r="A13" t="s">
        <v>74</v>
      </c>
      <c r="F13" s="10">
        <f>SUMIF($B$5:$B$10,"VARIABLE",$F$5:$F$10)</f>
        <v>2795</v>
      </c>
    </row>
    <row r="14" spans="1:6" x14ac:dyDescent="0.3">
      <c r="A14" t="s">
        <v>75</v>
      </c>
      <c r="F14" s="10">
        <f>SUMIF($B$5:$B$10,"FIJO",$F$5:$F$10)</f>
        <v>1200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baseColWidth="10" defaultColWidth="8.88671875" defaultRowHeight="14.4" x14ac:dyDescent="0.3"/>
  <cols>
    <col min="1" max="1" width="30" customWidth="1"/>
    <col min="2" max="2" width="100" customWidth="1"/>
  </cols>
  <sheetData>
    <row r="1" spans="1:2" s="11" customFormat="1" ht="17.399999999999999" x14ac:dyDescent="0.35">
      <c r="A1" s="11" t="s">
        <v>47</v>
      </c>
      <c r="B1" s="12" t="s">
        <v>48</v>
      </c>
    </row>
    <row r="2" spans="1:2" x14ac:dyDescent="0.3">
      <c r="A2" s="13" t="s">
        <v>48</v>
      </c>
      <c r="B2" s="14" t="s">
        <v>48</v>
      </c>
    </row>
    <row r="3" spans="1:2" ht="28.8" x14ac:dyDescent="0.3">
      <c r="A3" s="13" t="s">
        <v>49</v>
      </c>
      <c r="B3" s="14" t="s">
        <v>50</v>
      </c>
    </row>
    <row r="4" spans="1:2" ht="28.8" x14ac:dyDescent="0.3">
      <c r="A4" s="13" t="s">
        <v>51</v>
      </c>
      <c r="B4" s="14" t="s">
        <v>52</v>
      </c>
    </row>
    <row r="5" spans="1:2" ht="28.8" x14ac:dyDescent="0.3">
      <c r="A5" s="13" t="s">
        <v>53</v>
      </c>
      <c r="B5" s="14" t="s">
        <v>54</v>
      </c>
    </row>
    <row r="6" spans="1:2" ht="43.2" x14ac:dyDescent="0.3">
      <c r="A6" s="13" t="s">
        <v>55</v>
      </c>
      <c r="B6" s="14" t="s">
        <v>56</v>
      </c>
    </row>
    <row r="7" spans="1:2" ht="28.8" x14ac:dyDescent="0.3">
      <c r="A7" s="13" t="s">
        <v>57</v>
      </c>
      <c r="B7" s="14" t="s">
        <v>58</v>
      </c>
    </row>
    <row r="8" spans="1:2" x14ac:dyDescent="0.3">
      <c r="A8" s="13" t="s">
        <v>48</v>
      </c>
      <c r="B8" s="14" t="s">
        <v>48</v>
      </c>
    </row>
    <row r="9" spans="1:2" ht="43.2" x14ac:dyDescent="0.3">
      <c r="A9" s="13" t="s">
        <v>59</v>
      </c>
      <c r="B9" s="14" t="s">
        <v>60</v>
      </c>
    </row>
    <row r="10" spans="1:2" ht="43.2" x14ac:dyDescent="0.3">
      <c r="A10" s="13" t="s">
        <v>61</v>
      </c>
      <c r="B10" s="14" t="s">
        <v>62</v>
      </c>
    </row>
    <row r="11" spans="1:2" ht="28.8" x14ac:dyDescent="0.3">
      <c r="A11" s="13" t="s">
        <v>63</v>
      </c>
      <c r="B11" s="14" t="s">
        <v>64</v>
      </c>
    </row>
    <row r="12" spans="1:2" ht="28.8" x14ac:dyDescent="0.3">
      <c r="A12" s="13" t="s">
        <v>65</v>
      </c>
      <c r="B12" s="14" t="s">
        <v>66</v>
      </c>
    </row>
    <row r="13" spans="1:2" x14ac:dyDescent="0.3">
      <c r="A13" s="13" t="s">
        <v>48</v>
      </c>
      <c r="B13" s="14" t="s">
        <v>48</v>
      </c>
    </row>
    <row r="14" spans="1:2" ht="43.2" x14ac:dyDescent="0.3">
      <c r="A14" s="13" t="s">
        <v>67</v>
      </c>
      <c r="B14" s="14" t="s">
        <v>68</v>
      </c>
    </row>
    <row r="15" spans="1:2" ht="28.8" x14ac:dyDescent="0.3">
      <c r="A15" s="13" t="s">
        <v>69</v>
      </c>
      <c r="B15" s="14" t="s">
        <v>70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Costo Directo</vt:lpstr>
      <vt:lpstr>Gastos Generales</vt:lpstr>
      <vt:lpstr>Instrucciones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2026-08-18T06:44:47Z</dcterms:created>
  <dcterms:modified xsi:type="dcterms:W3CDTF">2026-08-18T11:12:51Z</dcterms:modified>
  <cp:category/>
</cp:coreProperties>
</file>